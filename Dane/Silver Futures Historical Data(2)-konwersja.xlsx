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rcec\Dane\"/>
    </mc:Choice>
  </mc:AlternateContent>
  <xr:revisionPtr revIDLastSave="0" documentId="13_ncr:9_{EE81BADC-08BB-4168-8969-8E32DD3BA992}" xr6:coauthVersionLast="47" xr6:coauthVersionMax="47" xr10:uidLastSave="{00000000-0000-0000-0000-000000000000}"/>
  <bookViews>
    <workbookView xWindow="-108" yWindow="-108" windowWidth="23256" windowHeight="12456" xr2:uid="{4FCC855D-334D-4412-84D0-1034C97BAF99}"/>
  </bookViews>
  <sheets>
    <sheet name="Silver Futures Historical Data(" sheetId="1" r:id="rId1"/>
  </sheets>
  <calcPr calcId="0"/>
</workbook>
</file>

<file path=xl/calcChain.xml><?xml version="1.0" encoding="utf-8"?>
<calcChain xmlns="http://schemas.openxmlformats.org/spreadsheetml/2006/main">
  <c r="B3" i="1" l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E7" i="1" s="1"/>
  <c r="B8" i="1"/>
  <c r="C8" i="1"/>
  <c r="D8" i="1"/>
  <c r="B9" i="1"/>
  <c r="C9" i="1"/>
  <c r="D9" i="1"/>
  <c r="B10" i="1"/>
  <c r="C10" i="1"/>
  <c r="D10" i="1"/>
  <c r="E10" i="1" s="1"/>
  <c r="B11" i="1"/>
  <c r="C11" i="1"/>
  <c r="D11" i="1"/>
  <c r="E11" i="1" s="1"/>
  <c r="B12" i="1"/>
  <c r="C12" i="1"/>
  <c r="D12" i="1"/>
  <c r="E12" i="1" s="1"/>
  <c r="B13" i="1"/>
  <c r="E13" i="1" s="1"/>
  <c r="C13" i="1"/>
  <c r="D13" i="1"/>
  <c r="B14" i="1"/>
  <c r="C14" i="1"/>
  <c r="D14" i="1"/>
  <c r="B15" i="1"/>
  <c r="C15" i="1"/>
  <c r="D15" i="1"/>
  <c r="B16" i="1"/>
  <c r="C16" i="1"/>
  <c r="D16" i="1"/>
  <c r="E16" i="1" s="1"/>
  <c r="B17" i="1"/>
  <c r="C17" i="1"/>
  <c r="D17" i="1"/>
  <c r="E17" i="1" s="1"/>
  <c r="B18" i="1"/>
  <c r="C18" i="1"/>
  <c r="D18" i="1"/>
  <c r="E18" i="1" s="1"/>
  <c r="B19" i="1"/>
  <c r="C19" i="1"/>
  <c r="D19" i="1"/>
  <c r="B20" i="1"/>
  <c r="C20" i="1"/>
  <c r="D20" i="1"/>
  <c r="E20" i="1" s="1"/>
  <c r="B21" i="1"/>
  <c r="C21" i="1"/>
  <c r="D21" i="1"/>
  <c r="E3" i="1"/>
  <c r="E4" i="1"/>
  <c r="E5" i="1"/>
  <c r="E6" i="1"/>
  <c r="E8" i="1"/>
  <c r="E9" i="1"/>
  <c r="E14" i="1"/>
  <c r="E15" i="1"/>
  <c r="E19" i="1"/>
  <c r="E21" i="1"/>
  <c r="E2" i="1"/>
  <c r="D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tc={552323E5-7F0D-4C86-B593-F8AA6A1A2EB5}</author>
  </authors>
  <commentList>
    <comment ref="C2" authorId="0" shapeId="0" xr:uid="{552323E5-7F0D-4C86-B593-F8AA6A1A2EB5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Co chcemy osiągnąć:
Z tekstu 01/30/2026 wyciągnąć 30 (czyli tekst między pierwszym / a drugim /).
Krok po kroku:
1. ZNAJDŹ("/", A2) → Znajduje pozycję pierwszego "/"
Dla 01/30/2026 zwraca 3 (bo "/" jest na 3. pozycji: 0|1|/|3|0|...)
2. DŁ(A2) - ZNAJDŹ("/", A2) → Ile znaków zostać po prawej?
DŁ("01/30/2026") = 10 znaków
10 - 3 = 7
3. PRAWY(A2; 7) → Wycina 7 znaków od prawej
Z 01/30/2026 bierze ostatnie 7 znaków:
30/2026
Teraz mamy skrócony tekst: 30/2026 (bez miesiąca "01")
4. ZNAJDŹ("/", "30/2026") → Gdzie jest "/" w skróconym tekście?
Zwraca 3 (bo w "30/2026" ukośnik jest na pozycji 3: 3|0|/|2|0|2|6)
5. ZNAJDŹ("/"; PRAWY(...)) - 1 → Ile znaków przed ukośnikiem?
3 - 1 = 2
6. LEWY("30/2026"; 2) → Wycina 2 znaki od lewej
Z 30/2026 bierze pierwsze 2 znaki:
30 ✓
Podsumowanie wizualne:
Copy
ORYGINAŁ: 01/30/2026 ↑↑ ||__ ZNAJDŹ = 3 | |____ DŁ - ZNAJDŹ = 7 PRAWY(7): 30/2026 ← obcięty początek ↑ |__ ZNAJDŹ = 3, minus 1 = 2 LEWY(2): 30 ← wynik!
</t>
      </text>
    </comment>
  </commentList>
</comments>
</file>

<file path=xl/sharedStrings.xml><?xml version="1.0" encoding="utf-8"?>
<sst xmlns="http://schemas.openxmlformats.org/spreadsheetml/2006/main" count="54" uniqueCount="54">
  <si>
    <t>Date</t>
  </si>
  <si>
    <t>Price</t>
  </si>
  <si>
    <t>Open</t>
  </si>
  <si>
    <t>High</t>
  </si>
  <si>
    <t>Low</t>
  </si>
  <si>
    <t>Vol.</t>
  </si>
  <si>
    <t>Change %</t>
  </si>
  <si>
    <t>01#30#2026</t>
  </si>
  <si>
    <t>1.54K</t>
  </si>
  <si>
    <t>#31.37%</t>
  </si>
  <si>
    <t>01#29#2026</t>
  </si>
  <si>
    <t>193.65K</t>
  </si>
  <si>
    <t>01#28#2026</t>
  </si>
  <si>
    <t>1.44K</t>
  </si>
  <si>
    <t>01#27#2026</t>
  </si>
  <si>
    <t>1.72K</t>
  </si>
  <si>
    <t>#8.30%</t>
  </si>
  <si>
    <t>01#26#2026</t>
  </si>
  <si>
    <t>1.95K</t>
  </si>
  <si>
    <t>01#23#2026</t>
  </si>
  <si>
    <t>139.09K</t>
  </si>
  <si>
    <t>01#22#2026</t>
  </si>
  <si>
    <t>108.42K</t>
  </si>
  <si>
    <t>01#21#2026</t>
  </si>
  <si>
    <t>128.65K</t>
  </si>
  <si>
    <t>#2.11%</t>
  </si>
  <si>
    <t>01#20#2026</t>
  </si>
  <si>
    <t>199.93K</t>
  </si>
  <si>
    <t>01#19#2026</t>
  </si>
  <si>
    <t>79.94K</t>
  </si>
  <si>
    <t>#7.41%</t>
  </si>
  <si>
    <t>01#18#2026</t>
  </si>
  <si>
    <t>436.99K</t>
  </si>
  <si>
    <t>01#11#2026</t>
  </si>
  <si>
    <t>897.43K</t>
  </si>
  <si>
    <t>01#06#2026</t>
  </si>
  <si>
    <t>57.33K</t>
  </si>
  <si>
    <t>#2.21%</t>
  </si>
  <si>
    <t>01#05#2026</t>
  </si>
  <si>
    <t>136.39K</t>
  </si>
  <si>
    <t>01#04#2026</t>
  </si>
  <si>
    <t>131.25K</t>
  </si>
  <si>
    <t>01#01#2026</t>
  </si>
  <si>
    <t>99.77K</t>
  </si>
  <si>
    <t>12#30#2025</t>
  </si>
  <si>
    <t>148.60K</t>
  </si>
  <si>
    <t>#9.39%</t>
  </si>
  <si>
    <t>12#29#2025</t>
  </si>
  <si>
    <t>168.12K</t>
  </si>
  <si>
    <t>12#28#2025</t>
  </si>
  <si>
    <t>248.84K</t>
  </si>
  <si>
    <t>#8.73%</t>
  </si>
  <si>
    <t>12#25#2025</t>
  </si>
  <si>
    <t>171.24K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</si>
</sst>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theme="1"/>
      <name val="Arial Unicode MS"/>
      <family val="2"/>
      <charset val="238"/>
    </font>
    <font>
      <sz val="9"/>
      <color indexed="81"/>
      <name val="Tahoma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18" fillId="0" borderId="0" xfId="0" applyFont="1"/>
    <xf numFmtId="0" fontId="18" fillId="33" borderId="0" xfId="0" applyFont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dosław Pomykała" id="{73C49E49-499E-4775-B707-D35890CE85BC}" userId="S::rpomyk@agh.edu.pl::97839d2a-9f8d-447f-9026-0c9ed7f71d8c" providerId="AD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2-02T18:43:33.18" personId="{73C49E49-499E-4775-B707-D35890CE85BC}" id="{552323E5-7F0D-4C86-B593-F8AA6A1A2EB5}">
    <text xml:space="preserve">Co chcemy osiągnąć:
Z tekstu 01/30/2026 wyciągnąć 30 (czyli tekst między pierwszym / a drugim /).
Krok po kroku:
1. ZNAJDŹ("/", A2) → Znajduje pozycję pierwszego "/"
Dla 01/30/2026 zwraca 3 (bo "/" jest na 3. pozycji: 0|1|/|3|0|...)
2. DŁ(A2) - ZNAJDŹ("/", A2) → Ile znaków zostać po prawej?
DŁ("01/30/2026") = 10 znaków
10 - 3 = 7
3. PRAWY(A2; 7) → Wycina 7 znaków od prawej
Z 01/30/2026 bierze ostatnie 7 znaków:
30/2026
Teraz mamy skrócony tekst: 30/2026 (bez miesiąca "01")
4. ZNAJDŹ("/", "30/2026") → Gdzie jest "/" w skróconym tekście?
Zwraca 3 (bo w "30/2026" ukośnik jest na pozycji 3: 3|0|/|2|0|2|6)
5. ZNAJDŹ("/"; PRAWY(...)) - 1 → Ile znaków przed ukośnikiem?
3 - 1 = 2
6. LEWY("30/2026"; 2) → Wycina 2 znaki od lewej
Z 30/2026 bierze pierwsze 2 znaki:
30 ✓
Podsumowanie wizualne:
Copy
ORYGINAŁ: 01/30/2026 ↑↑ ||__ ZNAJDŹ = 3 | |____ DŁ - ZNAJDŹ = 7 PRAWY(7): 30/2026 ← obcięty początek ↑ |__ ZNAJDŹ = 3, minus 1 = 2 LEWY(2): 30 ← wynik!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1C08-0341-4D58-B49E-DDB33D7CB3BA}">
  <dimension ref="A1:K21"/>
  <sheetViews>
    <sheetView tabSelected="1" workbookViewId="0">
      <selection activeCell="D9" sqref="D9"/>
    </sheetView>
  </sheetViews>
  <sheetFormatPr defaultRowHeight="14.4" x14ac:dyDescent="0.3"/>
  <cols>
    <col min="1" max="5" width="15.44140625" customWidth="1"/>
  </cols>
  <sheetData>
    <row r="1" spans="1:11" x14ac:dyDescent="0.3">
      <c r="A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ht="15" x14ac:dyDescent="0.35">
      <c r="A2" t="s">
        <v>7</v>
      </c>
      <c r="B2" t="str">
        <f>LEFT(A2,FIND("#",A2)-1)</f>
        <v>01</v>
      </c>
      <c r="C2" s="3" t="str">
        <f>LEFT(RIGHT(A2,LEN(A2)-FIND("#",A2)),FIND("#",RIGHT(A2,LEN(A2)-FIND("#",A2)))-1)</f>
        <v>30</v>
      </c>
      <c r="D2" s="2" t="str">
        <f>RIGHT(A2,4)</f>
        <v>2026</v>
      </c>
      <c r="E2" t="str">
        <f>D2&amp;"-"&amp;B2&amp;"-"&amp;C2</f>
        <v>2026-01-30</v>
      </c>
      <c r="F2">
        <v>78.531000000000006</v>
      </c>
      <c r="G2">
        <v>115.88500000000001</v>
      </c>
      <c r="H2">
        <v>118.45</v>
      </c>
      <c r="I2">
        <v>74</v>
      </c>
      <c r="J2" t="s">
        <v>8</v>
      </c>
      <c r="K2" t="s">
        <v>9</v>
      </c>
    </row>
    <row r="3" spans="1:11" ht="15" x14ac:dyDescent="0.35">
      <c r="A3" t="s">
        <v>10</v>
      </c>
      <c r="B3" t="str">
        <f t="shared" ref="B3:B21" si="0">LEFT(A3,FIND("#",A3)-1)</f>
        <v>01</v>
      </c>
      <c r="C3" s="2" t="str">
        <f t="shared" ref="C3:C21" si="1">LEFT(RIGHT(A3,LEN(A3)-FIND("#",A3)),FIND("#",RIGHT(A3,LEN(A3)-FIND("#",A3)))-1)</f>
        <v>29</v>
      </c>
      <c r="D3" s="2" t="str">
        <f t="shared" ref="D3:D21" si="2">RIGHT(A3,4)</f>
        <v>2026</v>
      </c>
      <c r="E3" t="str">
        <f t="shared" ref="E3:E21" si="3">D3&amp;"-"&amp;B3&amp;"-"&amp;C3</f>
        <v>2026-01-29</v>
      </c>
      <c r="F3">
        <v>114.429</v>
      </c>
      <c r="G3">
        <v>116.625</v>
      </c>
      <c r="H3">
        <v>121.785</v>
      </c>
      <c r="I3">
        <v>106.61</v>
      </c>
      <c r="J3" t="s">
        <v>11</v>
      </c>
      <c r="K3" s="1">
        <v>1.12E-2</v>
      </c>
    </row>
    <row r="4" spans="1:11" ht="15" x14ac:dyDescent="0.35">
      <c r="A4" t="s">
        <v>12</v>
      </c>
      <c r="B4" t="str">
        <f t="shared" si="0"/>
        <v>01</v>
      </c>
      <c r="C4" s="2" t="str">
        <f t="shared" si="1"/>
        <v>28</v>
      </c>
      <c r="D4" s="2" t="str">
        <f t="shared" si="2"/>
        <v>2026</v>
      </c>
      <c r="E4" t="str">
        <f t="shared" si="3"/>
        <v>2026-01-28</v>
      </c>
      <c r="F4">
        <v>113.16200000000001</v>
      </c>
      <c r="G4">
        <v>112.095</v>
      </c>
      <c r="H4">
        <v>117.03</v>
      </c>
      <c r="I4">
        <v>110.495</v>
      </c>
      <c r="J4" t="s">
        <v>13</v>
      </c>
      <c r="K4" s="1">
        <v>7.17E-2</v>
      </c>
    </row>
    <row r="5" spans="1:11" ht="15" x14ac:dyDescent="0.35">
      <c r="A5" t="s">
        <v>14</v>
      </c>
      <c r="B5" t="str">
        <f t="shared" si="0"/>
        <v>01</v>
      </c>
      <c r="C5" s="2" t="str">
        <f t="shared" si="1"/>
        <v>27</v>
      </c>
      <c r="D5" s="2" t="str">
        <f t="shared" si="2"/>
        <v>2026</v>
      </c>
      <c r="E5" t="str">
        <f t="shared" si="3"/>
        <v>2026-01-27</v>
      </c>
      <c r="F5">
        <v>105.592</v>
      </c>
      <c r="G5">
        <v>104.76</v>
      </c>
      <c r="H5">
        <v>112.75</v>
      </c>
      <c r="I5">
        <v>102.595</v>
      </c>
      <c r="J5" t="s">
        <v>15</v>
      </c>
      <c r="K5" t="s">
        <v>16</v>
      </c>
    </row>
    <row r="6" spans="1:11" ht="15" x14ac:dyDescent="0.35">
      <c r="A6" t="s">
        <v>17</v>
      </c>
      <c r="B6" t="str">
        <f t="shared" si="0"/>
        <v>01</v>
      </c>
      <c r="C6" s="2" t="str">
        <f t="shared" si="1"/>
        <v>26</v>
      </c>
      <c r="D6" s="2" t="str">
        <f t="shared" si="2"/>
        <v>2026</v>
      </c>
      <c r="E6" t="str">
        <f t="shared" si="3"/>
        <v>2026-01-26</v>
      </c>
      <c r="F6">
        <v>115.148</v>
      </c>
      <c r="G6">
        <v>104.97</v>
      </c>
      <c r="H6">
        <v>117.265</v>
      </c>
      <c r="I6">
        <v>101.51</v>
      </c>
      <c r="J6" t="s">
        <v>18</v>
      </c>
      <c r="K6" s="1">
        <v>0.1363</v>
      </c>
    </row>
    <row r="7" spans="1:11" ht="15" x14ac:dyDescent="0.35">
      <c r="A7" t="s">
        <v>19</v>
      </c>
      <c r="B7" t="str">
        <f t="shared" si="0"/>
        <v>01</v>
      </c>
      <c r="C7" s="2" t="str">
        <f t="shared" si="1"/>
        <v>23</v>
      </c>
      <c r="D7" s="2" t="str">
        <f t="shared" si="2"/>
        <v>2026</v>
      </c>
      <c r="E7" t="str">
        <f t="shared" si="3"/>
        <v>2026-01-23</v>
      </c>
      <c r="F7">
        <v>101.333</v>
      </c>
      <c r="G7">
        <v>96.32</v>
      </c>
      <c r="H7">
        <v>103.53</v>
      </c>
      <c r="I7">
        <v>96.22</v>
      </c>
      <c r="J7" t="s">
        <v>20</v>
      </c>
      <c r="K7" s="1">
        <v>5.1499999999999997E-2</v>
      </c>
    </row>
    <row r="8" spans="1:11" ht="15" x14ac:dyDescent="0.35">
      <c r="A8" t="s">
        <v>21</v>
      </c>
      <c r="B8" t="str">
        <f t="shared" si="0"/>
        <v>01</v>
      </c>
      <c r="C8" s="2" t="str">
        <f t="shared" si="1"/>
        <v>22</v>
      </c>
      <c r="D8" s="2" t="str">
        <f t="shared" si="2"/>
        <v>2026</v>
      </c>
      <c r="E8" t="str">
        <f t="shared" si="3"/>
        <v>2026-01-22</v>
      </c>
      <c r="F8">
        <v>96.372</v>
      </c>
      <c r="G8">
        <v>92.79</v>
      </c>
      <c r="H8">
        <v>96.734999999999999</v>
      </c>
      <c r="I8">
        <v>90.68</v>
      </c>
      <c r="J8" t="s">
        <v>22</v>
      </c>
      <c r="K8" s="1">
        <v>4.0300000000000002E-2</v>
      </c>
    </row>
    <row r="9" spans="1:11" ht="15" x14ac:dyDescent="0.35">
      <c r="A9" t="s">
        <v>23</v>
      </c>
      <c r="B9" t="str">
        <f t="shared" si="0"/>
        <v>01</v>
      </c>
      <c r="C9" s="2" t="str">
        <f t="shared" si="1"/>
        <v>21</v>
      </c>
      <c r="D9" s="2" t="str">
        <f t="shared" si="2"/>
        <v>2026</v>
      </c>
      <c r="E9" t="str">
        <f t="shared" si="3"/>
        <v>2026-01-21</v>
      </c>
      <c r="F9">
        <v>92.637</v>
      </c>
      <c r="G9">
        <v>94.55</v>
      </c>
      <c r="H9">
        <v>95.53</v>
      </c>
      <c r="I9">
        <v>90.15</v>
      </c>
      <c r="J9" t="s">
        <v>24</v>
      </c>
      <c r="K9" t="s">
        <v>25</v>
      </c>
    </row>
    <row r="10" spans="1:11" ht="15" x14ac:dyDescent="0.35">
      <c r="A10" t="s">
        <v>26</v>
      </c>
      <c r="B10" t="str">
        <f t="shared" si="0"/>
        <v>01</v>
      </c>
      <c r="C10" s="2" t="str">
        <f t="shared" si="1"/>
        <v>20</v>
      </c>
      <c r="D10" s="2" t="str">
        <f t="shared" si="2"/>
        <v>2026</v>
      </c>
      <c r="E10" t="str">
        <f t="shared" si="3"/>
        <v>2026-01-20</v>
      </c>
      <c r="F10">
        <v>94.635999999999996</v>
      </c>
      <c r="G10">
        <v>90.605000000000004</v>
      </c>
      <c r="H10">
        <v>95.78</v>
      </c>
      <c r="I10">
        <v>90.5</v>
      </c>
      <c r="J10" t="s">
        <v>27</v>
      </c>
      <c r="K10" s="1">
        <v>8.6999999999999994E-3</v>
      </c>
    </row>
    <row r="11" spans="1:11" ht="15" x14ac:dyDescent="0.35">
      <c r="A11" t="s">
        <v>28</v>
      </c>
      <c r="B11" t="str">
        <f t="shared" si="0"/>
        <v>01</v>
      </c>
      <c r="C11" s="2" t="str">
        <f t="shared" si="1"/>
        <v>19</v>
      </c>
      <c r="D11" s="2" t="str">
        <f t="shared" si="2"/>
        <v>2026</v>
      </c>
      <c r="E11" t="str">
        <f t="shared" si="3"/>
        <v>2026-01-19</v>
      </c>
      <c r="F11">
        <v>93.82</v>
      </c>
      <c r="G11">
        <v>93.635000000000005</v>
      </c>
      <c r="H11">
        <v>94.74</v>
      </c>
      <c r="I11">
        <v>92.283000000000001</v>
      </c>
      <c r="J11" t="s">
        <v>29</v>
      </c>
      <c r="K11" t="s">
        <v>30</v>
      </c>
    </row>
    <row r="12" spans="1:11" ht="15" x14ac:dyDescent="0.35">
      <c r="A12" t="s">
        <v>31</v>
      </c>
      <c r="B12" t="str">
        <f t="shared" si="0"/>
        <v>01</v>
      </c>
      <c r="C12" s="2" t="str">
        <f t="shared" si="1"/>
        <v>18</v>
      </c>
      <c r="D12" s="2" t="str">
        <f t="shared" si="2"/>
        <v>2026</v>
      </c>
      <c r="E12" t="str">
        <f t="shared" si="3"/>
        <v>2026-01-18</v>
      </c>
      <c r="F12">
        <v>101.333</v>
      </c>
      <c r="G12">
        <v>90.605000000000004</v>
      </c>
      <c r="H12">
        <v>103.53</v>
      </c>
      <c r="I12">
        <v>90.15</v>
      </c>
      <c r="J12" t="s">
        <v>32</v>
      </c>
      <c r="K12" s="1">
        <v>0.14449999999999999</v>
      </c>
    </row>
    <row r="13" spans="1:11" ht="15" x14ac:dyDescent="0.35">
      <c r="A13" t="s">
        <v>33</v>
      </c>
      <c r="B13" t="str">
        <f t="shared" si="0"/>
        <v>01</v>
      </c>
      <c r="C13" s="2" t="str">
        <f t="shared" si="1"/>
        <v>11</v>
      </c>
      <c r="D13" s="2" t="str">
        <f t="shared" si="2"/>
        <v>2026</v>
      </c>
      <c r="E13" t="str">
        <f t="shared" si="3"/>
        <v>2026-01-11</v>
      </c>
      <c r="F13">
        <v>88.537000000000006</v>
      </c>
      <c r="G13">
        <v>80.504999999999995</v>
      </c>
      <c r="H13">
        <v>93.7</v>
      </c>
      <c r="I13">
        <v>79.900000000000006</v>
      </c>
      <c r="J13" t="s">
        <v>34</v>
      </c>
      <c r="K13" s="1">
        <v>0.1172</v>
      </c>
    </row>
    <row r="14" spans="1:11" ht="15" x14ac:dyDescent="0.35">
      <c r="A14" t="s">
        <v>35</v>
      </c>
      <c r="B14" t="str">
        <f t="shared" si="0"/>
        <v>01</v>
      </c>
      <c r="C14" s="2" t="str">
        <f t="shared" si="1"/>
        <v>06</v>
      </c>
      <c r="D14" s="2" t="str">
        <f t="shared" si="2"/>
        <v>2026</v>
      </c>
      <c r="E14" t="str">
        <f t="shared" si="3"/>
        <v>2026-01-06</v>
      </c>
      <c r="F14">
        <v>79.25</v>
      </c>
      <c r="G14">
        <v>81.284999999999997</v>
      </c>
      <c r="H14">
        <v>82.584999999999994</v>
      </c>
      <c r="I14">
        <v>78.099999999999994</v>
      </c>
      <c r="J14" t="s">
        <v>36</v>
      </c>
      <c r="K14" t="s">
        <v>37</v>
      </c>
    </row>
    <row r="15" spans="1:11" ht="15" x14ac:dyDescent="0.35">
      <c r="A15" t="s">
        <v>38</v>
      </c>
      <c r="B15" t="str">
        <f t="shared" si="0"/>
        <v>01</v>
      </c>
      <c r="C15" s="2" t="str">
        <f t="shared" si="1"/>
        <v>05</v>
      </c>
      <c r="D15" s="2" t="str">
        <f t="shared" si="2"/>
        <v>2026</v>
      </c>
      <c r="E15" t="str">
        <f t="shared" si="3"/>
        <v>2026-01-05</v>
      </c>
      <c r="F15">
        <v>81.039000000000001</v>
      </c>
      <c r="G15">
        <v>76.53</v>
      </c>
      <c r="H15">
        <v>81.484999999999999</v>
      </c>
      <c r="I15">
        <v>75.7</v>
      </c>
      <c r="J15" t="s">
        <v>39</v>
      </c>
      <c r="K15" s="1">
        <v>5.7200000000000001E-2</v>
      </c>
    </row>
    <row r="16" spans="1:11" ht="15" x14ac:dyDescent="0.35">
      <c r="A16" t="s">
        <v>40</v>
      </c>
      <c r="B16" t="str">
        <f t="shared" si="0"/>
        <v>01</v>
      </c>
      <c r="C16" s="2" t="str">
        <f t="shared" si="1"/>
        <v>04</v>
      </c>
      <c r="D16" s="2" t="str">
        <f t="shared" si="2"/>
        <v>2026</v>
      </c>
      <c r="E16" t="str">
        <f t="shared" si="3"/>
        <v>2026-01-04</v>
      </c>
      <c r="F16">
        <v>76.656999999999996</v>
      </c>
      <c r="G16">
        <v>73.08</v>
      </c>
      <c r="H16">
        <v>77.834999999999994</v>
      </c>
      <c r="I16">
        <v>72.504999999999995</v>
      </c>
      <c r="J16" t="s">
        <v>41</v>
      </c>
      <c r="K16" s="1">
        <v>7.9399999999999998E-2</v>
      </c>
    </row>
    <row r="17" spans="1:11" ht="15" x14ac:dyDescent="0.35">
      <c r="A17" t="s">
        <v>42</v>
      </c>
      <c r="B17" t="str">
        <f t="shared" si="0"/>
        <v>01</v>
      </c>
      <c r="C17" s="2" t="str">
        <f t="shared" si="1"/>
        <v>01</v>
      </c>
      <c r="D17" s="2" t="str">
        <f t="shared" si="2"/>
        <v>2026</v>
      </c>
      <c r="E17" t="str">
        <f t="shared" si="3"/>
        <v>2026-01-01</v>
      </c>
      <c r="F17">
        <v>71.015000000000001</v>
      </c>
      <c r="G17">
        <v>71.5</v>
      </c>
      <c r="H17">
        <v>74.209999999999994</v>
      </c>
      <c r="I17">
        <v>70.515000000000001</v>
      </c>
      <c r="J17" t="s">
        <v>43</v>
      </c>
      <c r="K17" s="1">
        <v>5.7999999999999996E-3</v>
      </c>
    </row>
    <row r="18" spans="1:11" ht="15" x14ac:dyDescent="0.35">
      <c r="A18" t="s">
        <v>44</v>
      </c>
      <c r="B18" t="str">
        <f t="shared" si="0"/>
        <v>12</v>
      </c>
      <c r="C18" s="2" t="str">
        <f t="shared" si="1"/>
        <v>30</v>
      </c>
      <c r="D18" s="2" t="str">
        <f t="shared" si="2"/>
        <v>2025</v>
      </c>
      <c r="E18" t="str">
        <f t="shared" si="3"/>
        <v>2025-12-30</v>
      </c>
      <c r="F18">
        <v>70.602999999999994</v>
      </c>
      <c r="G18">
        <v>76.064999999999998</v>
      </c>
      <c r="H18">
        <v>76.275000000000006</v>
      </c>
      <c r="I18">
        <v>69.254999999999995</v>
      </c>
      <c r="J18" t="s">
        <v>45</v>
      </c>
      <c r="K18" t="s">
        <v>46</v>
      </c>
    </row>
    <row r="19" spans="1:11" ht="15" x14ac:dyDescent="0.35">
      <c r="A19" t="s">
        <v>47</v>
      </c>
      <c r="B19" t="str">
        <f t="shared" si="0"/>
        <v>12</v>
      </c>
      <c r="C19" s="2" t="str">
        <f t="shared" si="1"/>
        <v>29</v>
      </c>
      <c r="D19" s="2" t="str">
        <f t="shared" si="2"/>
        <v>2025</v>
      </c>
      <c r="E19" t="str">
        <f t="shared" si="3"/>
        <v>2025-12-29</v>
      </c>
      <c r="F19">
        <v>77.918999999999997</v>
      </c>
      <c r="G19">
        <v>71.685000000000002</v>
      </c>
      <c r="H19">
        <v>78.064999999999998</v>
      </c>
      <c r="I19">
        <v>70.67</v>
      </c>
      <c r="J19" t="s">
        <v>48</v>
      </c>
      <c r="K19" s="1">
        <v>0.10589999999999999</v>
      </c>
    </row>
    <row r="20" spans="1:11" ht="15" x14ac:dyDescent="0.35">
      <c r="A20" t="s">
        <v>49</v>
      </c>
      <c r="B20" t="str">
        <f t="shared" si="0"/>
        <v>12</v>
      </c>
      <c r="C20" s="2" t="str">
        <f t="shared" si="1"/>
        <v>28</v>
      </c>
      <c r="D20" s="2" t="str">
        <f t="shared" si="2"/>
        <v>2025</v>
      </c>
      <c r="E20" t="str">
        <f t="shared" si="3"/>
        <v>2025-12-28</v>
      </c>
      <c r="F20">
        <v>70.459999999999994</v>
      </c>
      <c r="G20">
        <v>80</v>
      </c>
      <c r="H20">
        <v>82.67</v>
      </c>
      <c r="I20">
        <v>70.215000000000003</v>
      </c>
      <c r="J20" t="s">
        <v>50</v>
      </c>
      <c r="K20" t="s">
        <v>51</v>
      </c>
    </row>
    <row r="21" spans="1:11" ht="15" x14ac:dyDescent="0.35">
      <c r="A21" t="s">
        <v>52</v>
      </c>
      <c r="B21" t="str">
        <f t="shared" si="0"/>
        <v>12</v>
      </c>
      <c r="C21" s="2" t="str">
        <f t="shared" si="1"/>
        <v>25</v>
      </c>
      <c r="D21" s="2" t="str">
        <f t="shared" si="2"/>
        <v>2025</v>
      </c>
      <c r="E21" t="str">
        <f t="shared" si="3"/>
        <v>2025-12-25</v>
      </c>
      <c r="F21">
        <v>77.195999999999998</v>
      </c>
      <c r="G21">
        <v>72.724999999999994</v>
      </c>
      <c r="H21">
        <v>79.7</v>
      </c>
      <c r="I21">
        <v>72.72</v>
      </c>
      <c r="J21" t="s">
        <v>53</v>
      </c>
      <c r="K21" s="1">
        <v>7.6899999999999996E-2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Silver Futures Historical Data(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Radoslaw Pomykala</dc:creator>
  <cp:lastModifiedBy>Radosław Pomykała</cp:lastModifiedBy>
  <dcterms:created xsi:type="dcterms:W3CDTF">2026-02-02T18:36:22Z</dcterms:created>
  <dcterms:modified xsi:type="dcterms:W3CDTF">2026-02-02T18:43:42Z</dcterms:modified>
</cp:coreProperties>
</file>